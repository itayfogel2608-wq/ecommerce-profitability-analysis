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6cfc3142f58a133/Desktop/ֵתואר/פרוייקטים עצמאיים ללינקדין/store_data/"/>
    </mc:Choice>
  </mc:AlternateContent>
  <xr:revisionPtr revIDLastSave="184" documentId="11_452A1828EA5CBE740FD2A64591A447B28DF6338A" xr6:coauthVersionLast="47" xr6:coauthVersionMax="47" xr10:uidLastSave="{9EF43BD1-D575-4EEC-87AD-99F8F73C50B1}"/>
  <bookViews>
    <workbookView xWindow="-108" yWindow="-108" windowWidth="23256" windowHeight="12576" activeTab="2" xr2:uid="{00000000-000D-0000-FFFF-FFFF00000000}"/>
  </bookViews>
  <sheets>
    <sheet name="ניתוח רגישות" sheetId="3" r:id="rId1"/>
    <sheet name="profit data" sheetId="2" r:id="rId2"/>
    <sheet name="sales Report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 s="1"/>
  <c r="K8" i="1" s="1"/>
  <c r="K5" i="1"/>
  <c r="K4" i="1"/>
  <c r="J5" i="1"/>
  <c r="J6" i="1"/>
  <c r="J7" i="1"/>
  <c r="J8" i="1"/>
  <c r="J4" i="1"/>
  <c r="G9" i="1"/>
  <c r="T37" i="3"/>
  <c r="T27" i="3"/>
  <c r="T28" i="3" s="1"/>
  <c r="T29" i="3" s="1"/>
  <c r="T30" i="3" s="1"/>
  <c r="T31" i="3" s="1"/>
  <c r="T32" i="3" s="1"/>
  <c r="T33" i="3" s="1"/>
  <c r="T34" i="3" s="1"/>
  <c r="T35" i="3" s="1"/>
  <c r="T36" i="3" s="1"/>
  <c r="T26" i="3"/>
  <c r="T25" i="3"/>
  <c r="U24" i="3"/>
  <c r="O34" i="3"/>
  <c r="O35" i="3" s="1"/>
  <c r="O36" i="3" s="1"/>
  <c r="O37" i="3" s="1"/>
  <c r="O27" i="3"/>
  <c r="O28" i="3" s="1"/>
  <c r="O29" i="3" s="1"/>
  <c r="O30" i="3" s="1"/>
  <c r="O31" i="3" s="1"/>
  <c r="O32" i="3" s="1"/>
  <c r="O33" i="3" s="1"/>
  <c r="O26" i="3"/>
  <c r="O25" i="3"/>
  <c r="P24" i="3"/>
  <c r="G36" i="3"/>
  <c r="G37" i="3" s="1"/>
  <c r="G27" i="3"/>
  <c r="G28" i="3"/>
  <c r="G29" i="3" s="1"/>
  <c r="G30" i="3" s="1"/>
  <c r="G31" i="3" s="1"/>
  <c r="G32" i="3" s="1"/>
  <c r="G33" i="3" s="1"/>
  <c r="G34" i="3" s="1"/>
  <c r="G35" i="3" s="1"/>
  <c r="G26" i="3"/>
  <c r="G25" i="3"/>
  <c r="H24" i="3"/>
  <c r="M7" i="3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6" i="3"/>
  <c r="N4" i="3"/>
  <c r="H15" i="3"/>
  <c r="H16" i="3" s="1"/>
  <c r="H17" i="3" s="1"/>
  <c r="H7" i="3"/>
  <c r="H8" i="3"/>
  <c r="H9" i="3"/>
  <c r="H10" i="3"/>
  <c r="H11" i="3" s="1"/>
  <c r="H12" i="3" s="1"/>
  <c r="H13" i="3" s="1"/>
  <c r="H14" i="3" s="1"/>
  <c r="H6" i="3"/>
  <c r="H5" i="3"/>
  <c r="I4" i="3"/>
</calcChain>
</file>

<file path=xl/sharedStrings.xml><?xml version="1.0" encoding="utf-8"?>
<sst xmlns="http://schemas.openxmlformats.org/spreadsheetml/2006/main" count="58" uniqueCount="25">
  <si>
    <t>sales Report</t>
  </si>
  <si>
    <t>product_id</t>
  </si>
  <si>
    <t>name</t>
  </si>
  <si>
    <t>category</t>
  </si>
  <si>
    <t>cost_price</t>
  </si>
  <si>
    <t>sell_price</t>
  </si>
  <si>
    <t>quantity_sold</t>
  </si>
  <si>
    <t>revenue</t>
  </si>
  <si>
    <t>profit</t>
  </si>
  <si>
    <t>profit margin</t>
  </si>
  <si>
    <t>Wireless Mouse</t>
  </si>
  <si>
    <t>Electronics</t>
  </si>
  <si>
    <t>Desk Lamp</t>
  </si>
  <si>
    <t>Home</t>
  </si>
  <si>
    <t>Mechanical Keyboard</t>
  </si>
  <si>
    <t>Coffee Mug</t>
  </si>
  <si>
    <t>Laptop Stand</t>
  </si>
  <si>
    <t>Accessories</t>
  </si>
  <si>
    <t>תוויות שורה</t>
  </si>
  <si>
    <t>סכום כולל</t>
  </si>
  <si>
    <t>סכום של profit</t>
  </si>
  <si>
    <t>ערך ראשוני</t>
  </si>
  <si>
    <t>מרווחים</t>
  </si>
  <si>
    <t>precent</t>
  </si>
  <si>
    <t>cumulative precent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</si>
</sst>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6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6BCF7F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pivotButton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0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[store_data.xlsx]profit 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רווחי</a:t>
            </a:r>
            <a:r>
              <a:rPr lang="he-IL" baseline="0"/>
              <a:t> המחלקות בארגון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data'!$B$3</c:f>
              <c:strCache>
                <c:ptCount val="1"/>
                <c:pt idx="0">
                  <c:v>סה"כ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data'!$A$4:$A$7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'profit data'!$B$4:$B$7</c:f>
              <c:numCache>
                <c:formatCode>General</c:formatCode>
                <c:ptCount val="3"/>
                <c:pt idx="0">
                  <c:v>7800</c:v>
                </c:pt>
                <c:pt idx="1">
                  <c:v>13500</c:v>
                </c:pt>
                <c:pt idx="2">
                  <c:v>12600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8-48FA-A13C-46498C588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167807"/>
        <c:axId val="1071179807"/>
      </c:barChart>
      <c:catAx>
        <c:axId val="1071167807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מחלקות</a:t>
                </a:r>
              </a:p>
            </c:rich>
          </c:tx>
          <c:layout>
            <c:manualLayout>
              <c:xMode val="edge"/>
              <c:yMode val="edge"/>
              <c:x val="0.43583661417322839"/>
              <c:y val="0.79037255759696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71179807"/>
        <c:crosses val="autoZero"/>
        <c:auto val="1"/>
        <c:lblAlgn val="ctr"/>
        <c:lblOffset val="100"/>
        <c:noMultiLvlLbl val="0"/>
      </c:catAx>
      <c:valAx>
        <c:axId val="107117980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רווח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7116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</xdr:colOff>
      <xdr:row>12</xdr:row>
      <xdr:rowOff>45720</xdr:rowOff>
    </xdr:from>
    <xdr:to>
      <xdr:col>11</xdr:col>
      <xdr:colOff>575310</xdr:colOff>
      <xdr:row>27</xdr:row>
      <xdr:rowOff>160020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09D0CE04-8598-DDB9-1DB1-1D8E53E28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ay Fogel" refreshedDate="46092.451554050924" createdVersion="8" refreshedVersion="8" minRefreshableVersion="3" recordCount="5" xr:uid="{2BC40361-446D-4A1A-9EDC-E2F859E80D46}">
  <cacheSource type="worksheet">
    <worksheetSource ref="A3:I8" sheet="sales Report"/>
  </cacheSource>
  <cacheFields count="9">
    <cacheField name="product_id" numFmtId="0">
      <sharedItems containsSemiMixedTypes="0" containsString="0" containsNumber="1" containsInteger="1" minValue="101" maxValue="105"/>
    </cacheField>
    <cacheField name="name" numFmtId="0">
      <sharedItems/>
    </cacheField>
    <cacheField name="category" numFmtId="0">
      <sharedItems count="3">
        <s v="Electronics"/>
        <s v="Home"/>
        <s v="Accessories"/>
      </sharedItems>
    </cacheField>
    <cacheField name="cost_price" numFmtId="0">
      <sharedItems containsSemiMixedTypes="0" containsString="0" containsNumber="1" containsInteger="1" minValue="10" maxValue="150"/>
    </cacheField>
    <cacheField name="sell_price" numFmtId="0">
      <sharedItems containsSemiMixedTypes="0" containsString="0" containsNumber="1" containsInteger="1" minValue="35" maxValue="300"/>
    </cacheField>
    <cacheField name="quantity_sold" numFmtId="0">
      <sharedItems containsSemiMixedTypes="0" containsString="0" containsNumber="1" containsInteger="1" minValue="40" maxValue="300"/>
    </cacheField>
    <cacheField name="revenue" numFmtId="0">
      <sharedItems containsSemiMixedTypes="0" containsString="0" containsNumber="1" containsInteger="1" minValue="10200" maxValue="13500"/>
    </cacheField>
    <cacheField name="profit" numFmtId="0">
      <sharedItems containsSemiMixedTypes="0" containsString="0" containsNumber="1" containsInteger="1" minValue="5100" maxValue="7800"/>
    </cacheField>
    <cacheField name="profit margin" numFmtId="0">
      <sharedItems containsSemiMixedTypes="0" containsString="0" containsNumber="1" minValue="0.5" maxValue="0.7142857142857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s v="Wireless Mouse"/>
    <x v="0"/>
    <n v="40"/>
    <n v="90"/>
    <n v="150"/>
    <n v="13500"/>
    <n v="7500"/>
    <n v="0.55555555555555558"/>
  </r>
  <r>
    <n v="102"/>
    <s v="Desk Lamp"/>
    <x v="1"/>
    <n v="60"/>
    <n v="120"/>
    <n v="85"/>
    <n v="10200"/>
    <n v="5100"/>
    <n v="0.5"/>
  </r>
  <r>
    <n v="103"/>
    <s v="Mechanical Keyboard"/>
    <x v="0"/>
    <n v="150"/>
    <n v="300"/>
    <n v="40"/>
    <n v="12000"/>
    <n v="6000"/>
    <n v="0.5"/>
  </r>
  <r>
    <n v="104"/>
    <s v="Coffee Mug"/>
    <x v="1"/>
    <n v="10"/>
    <n v="35"/>
    <n v="300"/>
    <n v="10500"/>
    <n v="7500"/>
    <n v="0.7142857142857143"/>
  </r>
  <r>
    <n v="105"/>
    <s v="Laptop Stand"/>
    <x v="2"/>
    <n v="45"/>
    <n v="110"/>
    <n v="120"/>
    <n v="13200"/>
    <n v="7800"/>
    <n v="0.590909090909090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2F65C-4E0E-47D7-9E68-764C38B4F49D}" name="PivotTable1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9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סכום של profit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604D-27E0-40CC-8EF3-51F561FADF35}">
  <dimension ref="D1:U37"/>
  <sheetViews>
    <sheetView rightToLeft="1" topLeftCell="D1" workbookViewId="0">
      <selection activeCell="R39" sqref="R39"/>
    </sheetView>
  </sheetViews>
  <sheetFormatPr defaultRowHeight="13.8" x14ac:dyDescent="0.25"/>
  <sheetData>
    <row r="1" spans="4:14" x14ac:dyDescent="0.25">
      <c r="F1" s="1" t="s">
        <v>6</v>
      </c>
      <c r="G1" s="1" t="s">
        <v>5</v>
      </c>
      <c r="I1" s="1" t="s">
        <v>2</v>
      </c>
      <c r="L1" s="1" t="s">
        <v>6</v>
      </c>
      <c r="M1" s="1" t="s">
        <v>5</v>
      </c>
      <c r="N1" s="1" t="s">
        <v>2</v>
      </c>
    </row>
    <row r="2" spans="4:14" x14ac:dyDescent="0.25">
      <c r="F2" s="3">
        <v>150</v>
      </c>
      <c r="G2" s="2">
        <v>90</v>
      </c>
      <c r="I2" s="2" t="s">
        <v>10</v>
      </c>
      <c r="L2" s="4">
        <v>85</v>
      </c>
      <c r="M2" s="2">
        <v>120</v>
      </c>
      <c r="N2" s="2" t="s">
        <v>12</v>
      </c>
    </row>
    <row r="4" spans="4:14" x14ac:dyDescent="0.25">
      <c r="I4">
        <f>G2*F2</f>
        <v>13500</v>
      </c>
      <c r="K4" s="2" t="s">
        <v>21</v>
      </c>
      <c r="L4" s="2">
        <v>120</v>
      </c>
      <c r="N4">
        <f>M2*L2</f>
        <v>10200</v>
      </c>
    </row>
    <row r="5" spans="4:14" x14ac:dyDescent="0.25">
      <c r="D5" s="2" t="s">
        <v>21</v>
      </c>
      <c r="E5" s="2">
        <v>90</v>
      </c>
      <c r="H5">
        <f>E5</f>
        <v>90</v>
      </c>
      <c r="I5">
        <f t="dataTable" ref="I5:I17" dt2D="0" dtr="0" r1="G2"/>
        <v>13500</v>
      </c>
      <c r="K5" s="2" t="s">
        <v>22</v>
      </c>
      <c r="L5" s="2">
        <v>5</v>
      </c>
      <c r="M5">
        <v>120</v>
      </c>
      <c r="N5">
        <f t="dataTable" ref="N5:N17" dt2D="0" dtr="0" r1="M2"/>
        <v>10200</v>
      </c>
    </row>
    <row r="6" spans="4:14" x14ac:dyDescent="0.25">
      <c r="D6" s="2" t="s">
        <v>22</v>
      </c>
      <c r="E6" s="2">
        <v>5</v>
      </c>
      <c r="H6">
        <f>H5+$E$6</f>
        <v>95</v>
      </c>
      <c r="I6">
        <v>14250</v>
      </c>
      <c r="M6">
        <f>M5+$L$5</f>
        <v>125</v>
      </c>
      <c r="N6">
        <v>10625</v>
      </c>
    </row>
    <row r="7" spans="4:14" x14ac:dyDescent="0.25">
      <c r="H7">
        <f t="shared" ref="H7:H17" si="0">H6+$E$6</f>
        <v>100</v>
      </c>
      <c r="I7">
        <v>15000</v>
      </c>
      <c r="M7">
        <f t="shared" ref="M7:M17" si="1">M6+$L$5</f>
        <v>130</v>
      </c>
      <c r="N7">
        <v>11050</v>
      </c>
    </row>
    <row r="8" spans="4:14" x14ac:dyDescent="0.25">
      <c r="H8">
        <f t="shared" si="0"/>
        <v>105</v>
      </c>
      <c r="I8">
        <v>15750</v>
      </c>
      <c r="M8">
        <f t="shared" si="1"/>
        <v>135</v>
      </c>
      <c r="N8">
        <v>11475</v>
      </c>
    </row>
    <row r="9" spans="4:14" x14ac:dyDescent="0.25">
      <c r="H9">
        <f t="shared" si="0"/>
        <v>110</v>
      </c>
      <c r="I9">
        <v>16500</v>
      </c>
      <c r="M9">
        <f t="shared" si="1"/>
        <v>140</v>
      </c>
      <c r="N9">
        <v>11900</v>
      </c>
    </row>
    <row r="10" spans="4:14" x14ac:dyDescent="0.25">
      <c r="H10">
        <f t="shared" si="0"/>
        <v>115</v>
      </c>
      <c r="I10">
        <v>17250</v>
      </c>
      <c r="M10">
        <f t="shared" si="1"/>
        <v>145</v>
      </c>
      <c r="N10">
        <v>12325</v>
      </c>
    </row>
    <row r="11" spans="4:14" x14ac:dyDescent="0.25">
      <c r="H11">
        <f t="shared" si="0"/>
        <v>120</v>
      </c>
      <c r="I11">
        <v>18000</v>
      </c>
      <c r="M11">
        <f t="shared" si="1"/>
        <v>150</v>
      </c>
      <c r="N11">
        <v>12750</v>
      </c>
    </row>
    <row r="12" spans="4:14" x14ac:dyDescent="0.25">
      <c r="H12">
        <f t="shared" si="0"/>
        <v>125</v>
      </c>
      <c r="I12">
        <v>18750</v>
      </c>
      <c r="M12">
        <f t="shared" si="1"/>
        <v>155</v>
      </c>
      <c r="N12">
        <v>13175</v>
      </c>
    </row>
    <row r="13" spans="4:14" x14ac:dyDescent="0.25">
      <c r="H13">
        <f t="shared" si="0"/>
        <v>130</v>
      </c>
      <c r="I13">
        <v>19500</v>
      </c>
      <c r="M13">
        <f t="shared" si="1"/>
        <v>160</v>
      </c>
      <c r="N13">
        <v>13600</v>
      </c>
    </row>
    <row r="14" spans="4:14" x14ac:dyDescent="0.25">
      <c r="H14">
        <f t="shared" si="0"/>
        <v>135</v>
      </c>
      <c r="I14">
        <v>20250</v>
      </c>
      <c r="M14">
        <f t="shared" si="1"/>
        <v>165</v>
      </c>
      <c r="N14">
        <v>14025</v>
      </c>
    </row>
    <row r="15" spans="4:14" x14ac:dyDescent="0.25">
      <c r="H15">
        <f t="shared" si="0"/>
        <v>140</v>
      </c>
      <c r="I15">
        <v>21000</v>
      </c>
      <c r="M15">
        <f t="shared" si="1"/>
        <v>170</v>
      </c>
      <c r="N15">
        <v>14450</v>
      </c>
    </row>
    <row r="16" spans="4:14" x14ac:dyDescent="0.25">
      <c r="H16">
        <f t="shared" si="0"/>
        <v>145</v>
      </c>
      <c r="I16">
        <v>21750</v>
      </c>
      <c r="M16">
        <f t="shared" si="1"/>
        <v>175</v>
      </c>
      <c r="N16">
        <v>14875</v>
      </c>
    </row>
    <row r="17" spans="4:21" x14ac:dyDescent="0.25">
      <c r="H17">
        <f t="shared" si="0"/>
        <v>150</v>
      </c>
      <c r="I17">
        <v>22500</v>
      </c>
      <c r="M17">
        <f t="shared" si="1"/>
        <v>180</v>
      </c>
      <c r="N17">
        <v>15300</v>
      </c>
    </row>
    <row r="21" spans="4:21" x14ac:dyDescent="0.25">
      <c r="F21" s="1" t="s">
        <v>6</v>
      </c>
      <c r="G21" s="1" t="s">
        <v>5</v>
      </c>
      <c r="I21" s="1" t="s">
        <v>2</v>
      </c>
      <c r="M21" s="1" t="s">
        <v>6</v>
      </c>
      <c r="N21" s="1" t="s">
        <v>5</v>
      </c>
      <c r="P21" s="1" t="s">
        <v>2</v>
      </c>
      <c r="R21" s="1" t="s">
        <v>6</v>
      </c>
      <c r="S21" s="1" t="s">
        <v>5</v>
      </c>
      <c r="U21" s="1" t="s">
        <v>2</v>
      </c>
    </row>
    <row r="22" spans="4:21" x14ac:dyDescent="0.25">
      <c r="F22" s="5">
        <v>40</v>
      </c>
      <c r="G22" s="2">
        <v>300</v>
      </c>
      <c r="I22" s="2" t="s">
        <v>14</v>
      </c>
      <c r="M22" s="3">
        <v>300</v>
      </c>
      <c r="N22" s="2">
        <v>35</v>
      </c>
      <c r="P22" s="2" t="s">
        <v>15</v>
      </c>
      <c r="R22" s="3">
        <v>120</v>
      </c>
      <c r="S22" s="2">
        <v>110</v>
      </c>
      <c r="U22" s="2" t="s">
        <v>16</v>
      </c>
    </row>
    <row r="24" spans="4:21" x14ac:dyDescent="0.25">
      <c r="H24">
        <f>G22*F22</f>
        <v>12000</v>
      </c>
      <c r="L24" s="2" t="s">
        <v>21</v>
      </c>
      <c r="M24" s="2">
        <v>35</v>
      </c>
      <c r="P24">
        <f>N22*M22</f>
        <v>10500</v>
      </c>
      <c r="R24" s="2" t="s">
        <v>21</v>
      </c>
      <c r="S24" s="2">
        <v>110</v>
      </c>
      <c r="U24">
        <f>S22*R22</f>
        <v>13200</v>
      </c>
    </row>
    <row r="25" spans="4:21" x14ac:dyDescent="0.25">
      <c r="D25" s="2" t="s">
        <v>21</v>
      </c>
      <c r="E25" s="2">
        <v>300</v>
      </c>
      <c r="G25">
        <f>E25</f>
        <v>300</v>
      </c>
      <c r="H25">
        <f t="dataTable" ref="H25:H37" dt2D="0" dtr="0" r1="G22"/>
        <v>12000</v>
      </c>
      <c r="L25" s="2" t="s">
        <v>22</v>
      </c>
      <c r="M25" s="2">
        <v>5</v>
      </c>
      <c r="O25">
        <f>M24</f>
        <v>35</v>
      </c>
      <c r="P25">
        <f t="dataTable" ref="P25:P37" dt2D="0" dtr="0" r1="N22"/>
        <v>10500</v>
      </c>
      <c r="R25" s="2" t="s">
        <v>22</v>
      </c>
      <c r="S25" s="2">
        <v>5</v>
      </c>
      <c r="T25">
        <f>S24</f>
        <v>110</v>
      </c>
      <c r="U25">
        <f t="dataTable" ref="U25:U37" dt2D="0" dtr="0" r1="S22"/>
        <v>13200</v>
      </c>
    </row>
    <row r="26" spans="4:21" x14ac:dyDescent="0.25">
      <c r="D26" s="2" t="s">
        <v>22</v>
      </c>
      <c r="E26" s="2">
        <v>5</v>
      </c>
      <c r="G26">
        <f>G25+$E$26</f>
        <v>305</v>
      </c>
      <c r="H26">
        <v>12200</v>
      </c>
      <c r="O26">
        <f>O25+$M$25</f>
        <v>40</v>
      </c>
      <c r="P26">
        <v>12000</v>
      </c>
      <c r="T26">
        <f>T25+$S$25</f>
        <v>115</v>
      </c>
      <c r="U26">
        <v>13800</v>
      </c>
    </row>
    <row r="27" spans="4:21" x14ac:dyDescent="0.25">
      <c r="G27">
        <f t="shared" ref="G27:G37" si="2">G26+$E$26</f>
        <v>310</v>
      </c>
      <c r="H27">
        <v>12400</v>
      </c>
      <c r="O27">
        <f t="shared" ref="O27:O37" si="3">O26+$M$25</f>
        <v>45</v>
      </c>
      <c r="P27">
        <v>13500</v>
      </c>
      <c r="T27">
        <f t="shared" ref="T27:T37" si="4">T26+$S$25</f>
        <v>120</v>
      </c>
      <c r="U27">
        <v>14400</v>
      </c>
    </row>
    <row r="28" spans="4:21" x14ac:dyDescent="0.25">
      <c r="G28">
        <f t="shared" si="2"/>
        <v>315</v>
      </c>
      <c r="H28">
        <v>12600</v>
      </c>
      <c r="O28">
        <f t="shared" si="3"/>
        <v>50</v>
      </c>
      <c r="P28">
        <v>15000</v>
      </c>
      <c r="T28">
        <f t="shared" si="4"/>
        <v>125</v>
      </c>
      <c r="U28">
        <v>15000</v>
      </c>
    </row>
    <row r="29" spans="4:21" x14ac:dyDescent="0.25">
      <c r="G29">
        <f t="shared" si="2"/>
        <v>320</v>
      </c>
      <c r="H29">
        <v>12800</v>
      </c>
      <c r="O29">
        <f t="shared" si="3"/>
        <v>55</v>
      </c>
      <c r="P29">
        <v>16500</v>
      </c>
      <c r="T29">
        <f t="shared" si="4"/>
        <v>130</v>
      </c>
      <c r="U29">
        <v>15600</v>
      </c>
    </row>
    <row r="30" spans="4:21" x14ac:dyDescent="0.25">
      <c r="G30">
        <f t="shared" si="2"/>
        <v>325</v>
      </c>
      <c r="H30">
        <v>13000</v>
      </c>
      <c r="O30">
        <f t="shared" si="3"/>
        <v>60</v>
      </c>
      <c r="P30">
        <v>18000</v>
      </c>
      <c r="T30">
        <f t="shared" si="4"/>
        <v>135</v>
      </c>
      <c r="U30">
        <v>16200</v>
      </c>
    </row>
    <row r="31" spans="4:21" x14ac:dyDescent="0.25">
      <c r="G31">
        <f t="shared" si="2"/>
        <v>330</v>
      </c>
      <c r="H31">
        <v>13200</v>
      </c>
      <c r="O31">
        <f t="shared" si="3"/>
        <v>65</v>
      </c>
      <c r="P31">
        <v>19500</v>
      </c>
      <c r="T31">
        <f t="shared" si="4"/>
        <v>140</v>
      </c>
      <c r="U31">
        <v>16800</v>
      </c>
    </row>
    <row r="32" spans="4:21" x14ac:dyDescent="0.25">
      <c r="G32">
        <f t="shared" si="2"/>
        <v>335</v>
      </c>
      <c r="H32">
        <v>13400</v>
      </c>
      <c r="O32">
        <f t="shared" si="3"/>
        <v>70</v>
      </c>
      <c r="P32">
        <v>21000</v>
      </c>
      <c r="T32">
        <f t="shared" si="4"/>
        <v>145</v>
      </c>
      <c r="U32">
        <v>17400</v>
      </c>
    </row>
    <row r="33" spans="7:21" x14ac:dyDescent="0.25">
      <c r="G33">
        <f t="shared" si="2"/>
        <v>340</v>
      </c>
      <c r="H33">
        <v>13600</v>
      </c>
      <c r="O33">
        <f t="shared" si="3"/>
        <v>75</v>
      </c>
      <c r="P33">
        <v>22500</v>
      </c>
      <c r="T33">
        <f t="shared" si="4"/>
        <v>150</v>
      </c>
      <c r="U33">
        <v>18000</v>
      </c>
    </row>
    <row r="34" spans="7:21" x14ac:dyDescent="0.25">
      <c r="G34">
        <f t="shared" si="2"/>
        <v>345</v>
      </c>
      <c r="H34">
        <v>13800</v>
      </c>
      <c r="O34">
        <f t="shared" si="3"/>
        <v>80</v>
      </c>
      <c r="P34">
        <v>24000</v>
      </c>
      <c r="T34">
        <f t="shared" si="4"/>
        <v>155</v>
      </c>
      <c r="U34">
        <v>18600</v>
      </c>
    </row>
    <row r="35" spans="7:21" x14ac:dyDescent="0.25">
      <c r="G35">
        <f t="shared" si="2"/>
        <v>350</v>
      </c>
      <c r="H35">
        <v>14000</v>
      </c>
      <c r="O35">
        <f t="shared" si="3"/>
        <v>85</v>
      </c>
      <c r="P35">
        <v>25500</v>
      </c>
      <c r="T35">
        <f t="shared" si="4"/>
        <v>160</v>
      </c>
      <c r="U35">
        <v>19200</v>
      </c>
    </row>
    <row r="36" spans="7:21" x14ac:dyDescent="0.25">
      <c r="G36">
        <f t="shared" si="2"/>
        <v>355</v>
      </c>
      <c r="H36">
        <v>14200</v>
      </c>
      <c r="O36">
        <f t="shared" si="3"/>
        <v>90</v>
      </c>
      <c r="P36">
        <v>27000</v>
      </c>
      <c r="T36">
        <f t="shared" si="4"/>
        <v>165</v>
      </c>
      <c r="U36">
        <v>19800</v>
      </c>
    </row>
    <row r="37" spans="7:21" x14ac:dyDescent="0.25">
      <c r="G37">
        <f t="shared" si="2"/>
        <v>360</v>
      </c>
      <c r="H37">
        <v>14400</v>
      </c>
      <c r="O37">
        <f t="shared" si="3"/>
        <v>95</v>
      </c>
      <c r="P37">
        <v>28500</v>
      </c>
      <c r="T37">
        <f t="shared" si="4"/>
        <v>170</v>
      </c>
      <c r="U37">
        <v>20400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23BC-753D-4342-84CA-6AE53B8F75A2}">
  <dimension ref="A3:B7"/>
  <sheetViews>
    <sheetView rightToLeft="1" workbookViewId="0">
      <selection activeCell="A3" sqref="A3:B7"/>
    </sheetView>
  </sheetViews>
  <sheetFormatPr defaultRowHeight="13.8" x14ac:dyDescent="0.25"/>
  <cols>
    <col min="1" max="1" width="11.59765625" bestFit="1" customWidth="1"/>
    <col min="2" max="2" width="12.296875" bestFit="1" customWidth="1"/>
  </cols>
  <sheetData>
    <row r="3" spans="1:2" x14ac:dyDescent="0.25">
      <c r="A3" s="6" t="s">
        <v>18</v>
      </c>
      <c r="B3" t="s">
        <v>20</v>
      </c>
    </row>
    <row r="4" spans="1:2" x14ac:dyDescent="0.25">
      <c r="A4" s="7" t="s">
        <v>17</v>
      </c>
      <c r="B4">
        <v>7800</v>
      </c>
    </row>
    <row r="5" spans="1:2" x14ac:dyDescent="0.25">
      <c r="A5" s="7" t="s">
        <v>11</v>
      </c>
      <c r="B5">
        <v>13500</v>
      </c>
    </row>
    <row r="6" spans="1:2" x14ac:dyDescent="0.25">
      <c r="A6" s="7" t="s">
        <v>13</v>
      </c>
      <c r="B6">
        <v>12600</v>
      </c>
    </row>
    <row r="7" spans="1:2" x14ac:dyDescent="0.25">
      <c r="A7" s="7" t="s">
        <v>19</v>
      </c>
      <c r="B7">
        <v>33900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B1" workbookViewId="0">
      <selection activeCell="I12" sqref="I12"/>
    </sheetView>
  </sheetViews>
  <sheetFormatPr defaultRowHeight="13.8" x14ac:dyDescent="0.25"/>
  <cols>
    <col min="1" max="9" width="20" customWidth="1"/>
  </cols>
  <sheetData>
    <row r="1" spans="1:11" ht="21" x14ac:dyDescent="0.4">
      <c r="A1" s="8" t="s">
        <v>0</v>
      </c>
      <c r="B1" s="9"/>
      <c r="C1" s="9"/>
      <c r="D1" s="9"/>
      <c r="E1" s="9"/>
      <c r="F1" s="9"/>
      <c r="G1" s="9"/>
      <c r="H1" s="9"/>
    </row>
    <row r="3" spans="1:1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0" t="s">
        <v>9</v>
      </c>
      <c r="J3" s="11" t="s">
        <v>23</v>
      </c>
      <c r="K3" s="1" t="s">
        <v>24</v>
      </c>
    </row>
    <row r="4" spans="1:11" x14ac:dyDescent="0.25">
      <c r="A4" s="2">
        <v>101</v>
      </c>
      <c r="B4" s="2" t="s">
        <v>10</v>
      </c>
      <c r="C4" s="2" t="s">
        <v>11</v>
      </c>
      <c r="D4" s="2">
        <v>40</v>
      </c>
      <c r="E4" s="2">
        <v>90</v>
      </c>
      <c r="F4" s="3">
        <v>150</v>
      </c>
      <c r="G4" s="2">
        <v>13500</v>
      </c>
      <c r="H4" s="2">
        <v>7500</v>
      </c>
      <c r="I4" s="2">
        <v>0.55555555555555558</v>
      </c>
      <c r="J4" s="12">
        <f>G4/$G$9</f>
        <v>0.22727272727272727</v>
      </c>
      <c r="K4" s="12">
        <f>J4</f>
        <v>0.22727272727272727</v>
      </c>
    </row>
    <row r="5" spans="1:11" x14ac:dyDescent="0.25">
      <c r="A5" s="2">
        <v>102</v>
      </c>
      <c r="B5" s="2" t="s">
        <v>12</v>
      </c>
      <c r="C5" s="2" t="s">
        <v>13</v>
      </c>
      <c r="D5" s="2">
        <v>60</v>
      </c>
      <c r="E5" s="2">
        <v>120</v>
      </c>
      <c r="F5" s="4">
        <v>85</v>
      </c>
      <c r="G5" s="2">
        <v>10200</v>
      </c>
      <c r="H5" s="2">
        <v>5100</v>
      </c>
      <c r="I5" s="2">
        <v>0.5</v>
      </c>
      <c r="J5" s="12">
        <f t="shared" ref="J5:J8" si="0">G5/$G$9</f>
        <v>0.17171717171717171</v>
      </c>
      <c r="K5" s="12">
        <f>K4+J5</f>
        <v>0.39898989898989901</v>
      </c>
    </row>
    <row r="6" spans="1:11" x14ac:dyDescent="0.25">
      <c r="A6" s="2">
        <v>103</v>
      </c>
      <c r="B6" s="2" t="s">
        <v>14</v>
      </c>
      <c r="C6" s="2" t="s">
        <v>11</v>
      </c>
      <c r="D6" s="2">
        <v>150</v>
      </c>
      <c r="E6" s="2">
        <v>300</v>
      </c>
      <c r="F6" s="5">
        <v>40</v>
      </c>
      <c r="G6" s="2">
        <v>12000</v>
      </c>
      <c r="H6" s="2">
        <v>6000</v>
      </c>
      <c r="I6" s="2">
        <v>0.5</v>
      </c>
      <c r="J6" s="12">
        <f t="shared" si="0"/>
        <v>0.20202020202020202</v>
      </c>
      <c r="K6" s="12">
        <f t="shared" ref="K6:K8" si="1">K5+J6</f>
        <v>0.60101010101010099</v>
      </c>
    </row>
    <row r="7" spans="1:11" x14ac:dyDescent="0.25">
      <c r="A7" s="2">
        <v>104</v>
      </c>
      <c r="B7" s="2" t="s">
        <v>15</v>
      </c>
      <c r="C7" s="2" t="s">
        <v>13</v>
      </c>
      <c r="D7" s="2">
        <v>10</v>
      </c>
      <c r="E7" s="2">
        <v>35</v>
      </c>
      <c r="F7" s="3">
        <v>300</v>
      </c>
      <c r="G7" s="2">
        <v>10500</v>
      </c>
      <c r="H7" s="2">
        <v>7500</v>
      </c>
      <c r="I7" s="2">
        <v>0.7142857142857143</v>
      </c>
      <c r="J7" s="12">
        <f t="shared" si="0"/>
        <v>0.17676767676767677</v>
      </c>
      <c r="K7" s="12">
        <f t="shared" si="1"/>
        <v>0.77777777777777779</v>
      </c>
    </row>
    <row r="8" spans="1:11" x14ac:dyDescent="0.25">
      <c r="A8" s="2">
        <v>105</v>
      </c>
      <c r="B8" s="2" t="s">
        <v>16</v>
      </c>
      <c r="C8" s="2" t="s">
        <v>17</v>
      </c>
      <c r="D8" s="2">
        <v>45</v>
      </c>
      <c r="E8" s="2">
        <v>110</v>
      </c>
      <c r="F8" s="3">
        <v>120</v>
      </c>
      <c r="G8" s="2">
        <v>13200</v>
      </c>
      <c r="H8" s="2">
        <v>7800</v>
      </c>
      <c r="I8" s="2">
        <v>0.59090909090909094</v>
      </c>
      <c r="J8" s="12">
        <f t="shared" si="0"/>
        <v>0.22222222222222221</v>
      </c>
      <c r="K8" s="12">
        <f t="shared" si="1"/>
        <v>1</v>
      </c>
    </row>
    <row r="9" spans="1:11" x14ac:dyDescent="0.25">
      <c r="G9">
        <f>SUM(G4:G8)</f>
        <v>59400</v>
      </c>
      <c r="J9" s="13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ניתוח רגישות</vt:lpstr>
      <vt:lpstr>profit data</vt:lpstr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Itay Fogel</cp:lastModifiedBy>
  <dcterms:created xsi:type="dcterms:W3CDTF">2026-03-09T10:11:36Z</dcterms:created>
  <dcterms:modified xsi:type="dcterms:W3CDTF">2026-03-11T10:03:59Z</dcterms:modified>
</cp:coreProperties>
</file>